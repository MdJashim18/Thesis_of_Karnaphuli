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lculation_Notes" sheetId="3" state="visible" r:id="rId3"/>
  </sheets>
  <definedNames>
    <definedName name="_xlnm._FilterDatabase" localSheetId="0" hidden="1">'Raw_Data'!$A$1:$E$101</definedName>
    <definedName name="_xlnm._FilterDatabase" localSheetId="1" hidden="1">'Summary'!$A$1:$H$6</definedName>
    <definedName name="_xlnm._FilterDatabase" localSheetId="2" hidden="1">'Calculation_Notes'!$A$1:$C$4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70" customWidth="1" min="5" max="5"/>
  </cols>
  <sheetData>
    <row r="1">
      <c r="A1" s="2" t="inlineStr">
        <is>
          <t>level_cm</t>
        </is>
      </c>
      <c r="B1" s="2" t="inlineStr">
        <is>
          <t>sample</t>
        </is>
      </c>
      <c r="C1" s="2" t="inlineStr">
        <is>
          <t>adc</t>
        </is>
      </c>
      <c r="D1" s="2" t="inlineStr">
        <is>
          <t>reported_mV</t>
        </is>
      </c>
      <c r="E1" s="2" t="inlineStr">
        <is>
          <t>observation_note</t>
        </is>
      </c>
    </row>
    <row r="2">
      <c r="A2" s="3" t="n">
        <v>0</v>
      </c>
      <c r="B2" s="3" t="n">
        <v>1</v>
      </c>
      <c r="C2" s="3" t="n">
        <v>34</v>
      </c>
      <c r="D2" s="3" t="n">
        <v>167</v>
      </c>
      <c r="E2" s="3" t="inlineStr"/>
    </row>
    <row r="3">
      <c r="A3" s="3" t="n">
        <v>0</v>
      </c>
      <c r="B3" s="3" t="n">
        <v>2</v>
      </c>
      <c r="C3" s="3" t="n">
        <v>38</v>
      </c>
      <c r="D3" s="3" t="n">
        <v>168</v>
      </c>
      <c r="E3" s="3" t="inlineStr"/>
    </row>
    <row r="4">
      <c r="A4" s="3" t="n">
        <v>0</v>
      </c>
      <c r="B4" s="3" t="n">
        <v>3</v>
      </c>
      <c r="C4" s="3" t="n">
        <v>21</v>
      </c>
      <c r="D4" s="3" t="n">
        <v>168</v>
      </c>
      <c r="E4" s="3" t="inlineStr"/>
    </row>
    <row r="5">
      <c r="A5" s="3" t="n">
        <v>0</v>
      </c>
      <c r="B5" s="3" t="n">
        <v>4</v>
      </c>
      <c r="C5" s="3" t="n">
        <v>27</v>
      </c>
      <c r="D5" s="3" t="n">
        <v>166</v>
      </c>
      <c r="E5" s="3" t="inlineStr"/>
    </row>
    <row r="6">
      <c r="A6" s="3" t="n">
        <v>0</v>
      </c>
      <c r="B6" s="3" t="n">
        <v>5</v>
      </c>
      <c r="C6" s="3" t="n">
        <v>29</v>
      </c>
      <c r="D6" s="3" t="n">
        <v>162</v>
      </c>
      <c r="E6" s="3" t="inlineStr"/>
    </row>
    <row r="7">
      <c r="A7" s="3" t="n">
        <v>0</v>
      </c>
      <c r="B7" s="3" t="n">
        <v>6</v>
      </c>
      <c r="C7" s="3" t="n">
        <v>27</v>
      </c>
      <c r="D7" s="3" t="n">
        <v>160</v>
      </c>
      <c r="E7" s="3" t="inlineStr"/>
    </row>
    <row r="8">
      <c r="A8" s="3" t="n">
        <v>0</v>
      </c>
      <c r="B8" s="3" t="n">
        <v>7</v>
      </c>
      <c r="C8" s="3" t="n">
        <v>25</v>
      </c>
      <c r="D8" s="3" t="n">
        <v>165</v>
      </c>
      <c r="E8" s="3" t="inlineStr"/>
    </row>
    <row r="9">
      <c r="A9" s="3" t="n">
        <v>0</v>
      </c>
      <c r="B9" s="3" t="n">
        <v>8</v>
      </c>
      <c r="C9" s="3" t="n">
        <v>37</v>
      </c>
      <c r="D9" s="3" t="n">
        <v>166</v>
      </c>
      <c r="E9" s="3" t="inlineStr"/>
    </row>
    <row r="10">
      <c r="A10" s="3" t="n">
        <v>0</v>
      </c>
      <c r="B10" s="3" t="n">
        <v>9</v>
      </c>
      <c r="C10" s="3" t="n">
        <v>28</v>
      </c>
      <c r="D10" s="3" t="n">
        <v>163</v>
      </c>
      <c r="E10" s="3" t="inlineStr"/>
    </row>
    <row r="11">
      <c r="A11" s="3" t="n">
        <v>0</v>
      </c>
      <c r="B11" s="3" t="n">
        <v>10</v>
      </c>
      <c r="C11" s="3" t="n">
        <v>26</v>
      </c>
      <c r="D11" s="3" t="n">
        <v>163</v>
      </c>
      <c r="E11" s="3" t="inlineStr"/>
    </row>
    <row r="12">
      <c r="A12" s="3" t="n">
        <v>0</v>
      </c>
      <c r="B12" s="3" t="n">
        <v>11</v>
      </c>
      <c r="C12" s="3" t="n">
        <v>23</v>
      </c>
      <c r="D12" s="3" t="n">
        <v>160</v>
      </c>
      <c r="E12" s="3" t="inlineStr"/>
    </row>
    <row r="13">
      <c r="A13" s="3" t="n">
        <v>0</v>
      </c>
      <c r="B13" s="3" t="n">
        <v>12</v>
      </c>
      <c r="C13" s="3" t="n">
        <v>23</v>
      </c>
      <c r="D13" s="3" t="n">
        <v>163</v>
      </c>
      <c r="E13" s="3" t="inlineStr"/>
    </row>
    <row r="14">
      <c r="A14" s="3" t="n">
        <v>0</v>
      </c>
      <c r="B14" s="3" t="n">
        <v>13</v>
      </c>
      <c r="C14" s="3" t="n">
        <v>19</v>
      </c>
      <c r="D14" s="3" t="n">
        <v>156</v>
      </c>
      <c r="E14" s="3" t="inlineStr"/>
    </row>
    <row r="15">
      <c r="A15" s="3" t="n">
        <v>0</v>
      </c>
      <c r="B15" s="3" t="n">
        <v>14</v>
      </c>
      <c r="C15" s="3" t="n">
        <v>18</v>
      </c>
      <c r="D15" s="3" t="n">
        <v>156</v>
      </c>
      <c r="E15" s="3" t="inlineStr"/>
    </row>
    <row r="16">
      <c r="A16" s="3" t="n">
        <v>0</v>
      </c>
      <c r="B16" s="3" t="n">
        <v>15</v>
      </c>
      <c r="C16" s="3" t="n">
        <v>16</v>
      </c>
      <c r="D16" s="3" t="n">
        <v>156</v>
      </c>
      <c r="E16" s="3" t="inlineStr"/>
    </row>
    <row r="17">
      <c r="A17" s="3" t="n">
        <v>0</v>
      </c>
      <c r="B17" s="3" t="n">
        <v>16</v>
      </c>
      <c r="C17" s="3" t="n">
        <v>16</v>
      </c>
      <c r="D17" s="3" t="n">
        <v>152</v>
      </c>
      <c r="E17" s="3" t="inlineStr"/>
    </row>
    <row r="18">
      <c r="A18" s="3" t="n">
        <v>0</v>
      </c>
      <c r="B18" s="3" t="n">
        <v>17</v>
      </c>
      <c r="C18" s="3" t="n">
        <v>8</v>
      </c>
      <c r="D18" s="3" t="n">
        <v>148</v>
      </c>
      <c r="E18" s="3" t="inlineStr"/>
    </row>
    <row r="19">
      <c r="A19" s="3" t="n">
        <v>0</v>
      </c>
      <c r="B19" s="3" t="n">
        <v>18</v>
      </c>
      <c r="C19" s="3" t="n">
        <v>10</v>
      </c>
      <c r="D19" s="3" t="n">
        <v>155</v>
      </c>
      <c r="E19" s="3" t="inlineStr"/>
    </row>
    <row r="20">
      <c r="A20" s="3" t="n">
        <v>0</v>
      </c>
      <c r="B20" s="3" t="n">
        <v>19</v>
      </c>
      <c r="C20" s="3" t="n">
        <v>15</v>
      </c>
      <c r="D20" s="3" t="n">
        <v>155</v>
      </c>
      <c r="E20" s="3" t="inlineStr"/>
    </row>
    <row r="21">
      <c r="A21" s="3" t="n">
        <v>0</v>
      </c>
      <c r="B21" s="3" t="n">
        <v>20</v>
      </c>
      <c r="C21" s="3" t="n">
        <v>16</v>
      </c>
      <c r="D21" s="3" t="n">
        <v>150</v>
      </c>
      <c r="E21" s="3" t="inlineStr"/>
    </row>
    <row r="22">
      <c r="A22" s="3" t="n">
        <v>2</v>
      </c>
      <c r="B22" s="3" t="n">
        <v>1</v>
      </c>
      <c r="C22" s="3" t="n">
        <v>1885</v>
      </c>
      <c r="D22" s="3" t="n">
        <v>1708</v>
      </c>
      <c r="E22" s="3" t="inlineStr"/>
    </row>
    <row r="23">
      <c r="A23" s="3" t="n">
        <v>2</v>
      </c>
      <c r="B23" s="3" t="n">
        <v>2</v>
      </c>
      <c r="C23" s="3" t="n">
        <v>1876</v>
      </c>
      <c r="D23" s="3" t="n">
        <v>1707</v>
      </c>
      <c r="E23" s="3" t="inlineStr"/>
    </row>
    <row r="24">
      <c r="A24" s="3" t="n">
        <v>2</v>
      </c>
      <c r="B24" s="3" t="n">
        <v>3</v>
      </c>
      <c r="C24" s="3" t="n">
        <v>1884</v>
      </c>
      <c r="D24" s="3" t="n">
        <v>1707</v>
      </c>
      <c r="E24" s="3" t="inlineStr"/>
    </row>
    <row r="25">
      <c r="A25" s="3" t="n">
        <v>2</v>
      </c>
      <c r="B25" s="3" t="n">
        <v>4</v>
      </c>
      <c r="C25" s="3" t="n">
        <v>1890</v>
      </c>
      <c r="D25" s="3" t="n">
        <v>1698</v>
      </c>
      <c r="E25" s="3" t="inlineStr"/>
    </row>
    <row r="26">
      <c r="A26" s="3" t="n">
        <v>2</v>
      </c>
      <c r="B26" s="3" t="n">
        <v>5</v>
      </c>
      <c r="C26" s="3" t="n">
        <v>1897</v>
      </c>
      <c r="D26" s="3" t="n">
        <v>1702</v>
      </c>
      <c r="E26" s="3" t="inlineStr"/>
    </row>
    <row r="27">
      <c r="A27" s="3" t="n">
        <v>2</v>
      </c>
      <c r="B27" s="3" t="n">
        <v>6</v>
      </c>
      <c r="C27" s="3" t="n">
        <v>1887</v>
      </c>
      <c r="D27" s="3" t="n">
        <v>1703</v>
      </c>
      <c r="E27" s="3" t="inlineStr"/>
    </row>
    <row r="28">
      <c r="A28" s="3" t="n">
        <v>2</v>
      </c>
      <c r="B28" s="3" t="n">
        <v>7</v>
      </c>
      <c r="C28" s="3" t="n">
        <v>1901</v>
      </c>
      <c r="D28" s="3" t="n">
        <v>1702</v>
      </c>
      <c r="E28" s="3" t="inlineStr"/>
    </row>
    <row r="29">
      <c r="A29" s="3" t="n">
        <v>2</v>
      </c>
      <c r="B29" s="3" t="n">
        <v>8</v>
      </c>
      <c r="C29" s="3" t="n">
        <v>1891</v>
      </c>
      <c r="D29" s="3" t="n">
        <v>1708</v>
      </c>
      <c r="E29" s="3" t="inlineStr"/>
    </row>
    <row r="30">
      <c r="A30" s="3" t="n">
        <v>2</v>
      </c>
      <c r="B30" s="3" t="n">
        <v>9</v>
      </c>
      <c r="C30" s="3" t="n">
        <v>1895</v>
      </c>
      <c r="D30" s="3" t="n">
        <v>1698</v>
      </c>
      <c r="E30" s="3" t="inlineStr"/>
    </row>
    <row r="31">
      <c r="A31" s="3" t="n">
        <v>2</v>
      </c>
      <c r="B31" s="3" t="n">
        <v>10</v>
      </c>
      <c r="C31" s="3" t="n">
        <v>1894</v>
      </c>
      <c r="D31" s="3" t="n">
        <v>1699</v>
      </c>
      <c r="E31" s="3" t="inlineStr"/>
    </row>
    <row r="32">
      <c r="A32" s="3" t="n">
        <v>2</v>
      </c>
      <c r="B32" s="3" t="n">
        <v>11</v>
      </c>
      <c r="C32" s="3" t="n">
        <v>1894</v>
      </c>
      <c r="D32" s="3" t="n">
        <v>1702</v>
      </c>
      <c r="E32" s="3" t="inlineStr"/>
    </row>
    <row r="33">
      <c r="A33" s="3" t="n">
        <v>2</v>
      </c>
      <c r="B33" s="3" t="n">
        <v>12</v>
      </c>
      <c r="C33" s="3" t="n">
        <v>1898</v>
      </c>
      <c r="D33" s="3" t="n">
        <v>1703</v>
      </c>
      <c r="E33" s="3" t="inlineStr"/>
    </row>
    <row r="34">
      <c r="A34" s="3" t="n">
        <v>2</v>
      </c>
      <c r="B34" s="3" t="n">
        <v>13</v>
      </c>
      <c r="C34" s="3" t="n">
        <v>1911</v>
      </c>
      <c r="D34" s="3" t="n">
        <v>1710</v>
      </c>
      <c r="E34" s="3" t="inlineStr"/>
    </row>
    <row r="35">
      <c r="A35" s="3" t="n">
        <v>2</v>
      </c>
      <c r="B35" s="3" t="n">
        <v>14</v>
      </c>
      <c r="C35" s="3" t="n">
        <v>1890</v>
      </c>
      <c r="D35" s="3" t="n">
        <v>1704</v>
      </c>
      <c r="E35" s="3" t="inlineStr"/>
    </row>
    <row r="36">
      <c r="A36" s="3" t="n">
        <v>2</v>
      </c>
      <c r="B36" s="3" t="n">
        <v>15</v>
      </c>
      <c r="C36" s="3" t="n">
        <v>1894</v>
      </c>
      <c r="D36" s="3" t="n">
        <v>1697</v>
      </c>
      <c r="E36" s="3" t="inlineStr"/>
    </row>
    <row r="37">
      <c r="A37" s="3" t="n">
        <v>2</v>
      </c>
      <c r="B37" s="3" t="n">
        <v>16</v>
      </c>
      <c r="C37" s="3" t="n">
        <v>1898</v>
      </c>
      <c r="D37" s="3" t="n">
        <v>1706</v>
      </c>
      <c r="E37" s="3" t="inlineStr"/>
    </row>
    <row r="38">
      <c r="A38" s="3" t="n">
        <v>2</v>
      </c>
      <c r="B38" s="3" t="n">
        <v>17</v>
      </c>
      <c r="C38" s="3" t="n">
        <v>1895</v>
      </c>
      <c r="D38" s="3" t="n">
        <v>1699</v>
      </c>
      <c r="E38" s="3" t="inlineStr"/>
    </row>
    <row r="39">
      <c r="A39" s="3" t="n">
        <v>2</v>
      </c>
      <c r="B39" s="3" t="n">
        <v>18</v>
      </c>
      <c r="C39" s="3" t="n">
        <v>1892</v>
      </c>
      <c r="D39" s="3" t="n">
        <v>1703</v>
      </c>
      <c r="E39" s="3" t="inlineStr"/>
    </row>
    <row r="40">
      <c r="A40" s="3" t="n">
        <v>2</v>
      </c>
      <c r="B40" s="3" t="n">
        <v>19</v>
      </c>
      <c r="C40" s="3" t="n">
        <v>1902</v>
      </c>
      <c r="D40" s="3" t="n">
        <v>1711</v>
      </c>
      <c r="E40" s="3" t="inlineStr"/>
    </row>
    <row r="41">
      <c r="A41" s="3" t="n">
        <v>2</v>
      </c>
      <c r="B41" s="3" t="n">
        <v>20</v>
      </c>
      <c r="C41" s="3" t="n">
        <v>1893</v>
      </c>
      <c r="D41" s="3" t="n">
        <v>1703</v>
      </c>
      <c r="E41" s="3" t="inlineStr"/>
    </row>
    <row r="42">
      <c r="A42" s="3" t="n">
        <v>5</v>
      </c>
      <c r="B42" s="3" t="n">
        <v>1</v>
      </c>
      <c r="C42" s="3" t="n">
        <v>1996</v>
      </c>
      <c r="D42" s="3" t="n">
        <v>1793</v>
      </c>
      <c r="E42" s="3" t="inlineStr"/>
    </row>
    <row r="43">
      <c r="A43" s="3" t="n">
        <v>5</v>
      </c>
      <c r="B43" s="3" t="n">
        <v>2</v>
      </c>
      <c r="C43" s="3" t="n">
        <v>1986</v>
      </c>
      <c r="D43" s="3" t="n">
        <v>1792</v>
      </c>
      <c r="E43" s="3" t="inlineStr"/>
    </row>
    <row r="44">
      <c r="A44" s="3" t="n">
        <v>5</v>
      </c>
      <c r="B44" s="3" t="n">
        <v>3</v>
      </c>
      <c r="C44" s="3" t="n">
        <v>2001</v>
      </c>
      <c r="D44" s="3" t="n">
        <v>1794</v>
      </c>
      <c r="E44" s="3" t="inlineStr"/>
    </row>
    <row r="45">
      <c r="A45" s="3" t="n">
        <v>5</v>
      </c>
      <c r="B45" s="3" t="n">
        <v>4</v>
      </c>
      <c r="C45" s="3" t="n">
        <v>1995</v>
      </c>
      <c r="D45" s="3" t="n">
        <v>1794</v>
      </c>
      <c r="E45" s="3" t="inlineStr"/>
    </row>
    <row r="46">
      <c r="A46" s="3" t="n">
        <v>5</v>
      </c>
      <c r="B46" s="3" t="n">
        <v>5</v>
      </c>
      <c r="C46" s="3" t="n">
        <v>1989</v>
      </c>
      <c r="D46" s="3" t="n">
        <v>1786</v>
      </c>
      <c r="E46" s="3" t="inlineStr"/>
    </row>
    <row r="47">
      <c r="A47" s="3" t="n">
        <v>5</v>
      </c>
      <c r="B47" s="3" t="n">
        <v>6</v>
      </c>
      <c r="C47" s="3" t="n">
        <v>1988</v>
      </c>
      <c r="D47" s="3" t="n">
        <v>1793</v>
      </c>
      <c r="E47" s="3" t="inlineStr"/>
    </row>
    <row r="48">
      <c r="A48" s="3" t="n">
        <v>5</v>
      </c>
      <c r="B48" s="3" t="n">
        <v>7</v>
      </c>
      <c r="C48" s="3" t="n">
        <v>1986</v>
      </c>
      <c r="D48" s="3" t="n">
        <v>1786</v>
      </c>
      <c r="E48" s="3" t="inlineStr"/>
    </row>
    <row r="49">
      <c r="A49" s="3" t="n">
        <v>5</v>
      </c>
      <c r="B49" s="3" t="n">
        <v>8</v>
      </c>
      <c r="C49" s="3" t="n">
        <v>1991</v>
      </c>
      <c r="D49" s="3" t="n">
        <v>1793</v>
      </c>
      <c r="E49" s="3" t="inlineStr"/>
    </row>
    <row r="50">
      <c r="A50" s="3" t="n">
        <v>5</v>
      </c>
      <c r="B50" s="3" t="n">
        <v>9</v>
      </c>
      <c r="C50" s="3" t="n">
        <v>1990</v>
      </c>
      <c r="D50" s="3" t="n">
        <v>1787</v>
      </c>
      <c r="E50" s="3" t="inlineStr"/>
    </row>
    <row r="51">
      <c r="A51" s="3" t="n">
        <v>5</v>
      </c>
      <c r="B51" s="3" t="n">
        <v>10</v>
      </c>
      <c r="C51" s="3" t="n">
        <v>1985</v>
      </c>
      <c r="D51" s="3" t="n">
        <v>1792</v>
      </c>
      <c r="E51" s="3" t="inlineStr"/>
    </row>
    <row r="52">
      <c r="A52" s="3" t="n">
        <v>5</v>
      </c>
      <c r="B52" s="3" t="n">
        <v>11</v>
      </c>
      <c r="C52" s="3" t="n">
        <v>1998</v>
      </c>
      <c r="D52" s="3" t="n">
        <v>1791</v>
      </c>
      <c r="E52" s="3" t="inlineStr"/>
    </row>
    <row r="53">
      <c r="A53" s="3" t="n">
        <v>5</v>
      </c>
      <c r="B53" s="3" t="n">
        <v>12</v>
      </c>
      <c r="C53" s="3" t="n">
        <v>2000</v>
      </c>
      <c r="D53" s="3" t="n">
        <v>1782</v>
      </c>
      <c r="E53" s="3" t="inlineStr"/>
    </row>
    <row r="54">
      <c r="A54" s="3" t="n">
        <v>5</v>
      </c>
      <c r="B54" s="3" t="n">
        <v>13</v>
      </c>
      <c r="C54" s="3" t="n">
        <v>1987</v>
      </c>
      <c r="D54" s="3" t="n">
        <v>1793</v>
      </c>
      <c r="E54" s="3" t="inlineStr"/>
    </row>
    <row r="55">
      <c r="A55" s="3" t="n">
        <v>5</v>
      </c>
      <c r="B55" s="3" t="n">
        <v>14</v>
      </c>
      <c r="C55" s="3" t="n">
        <v>1993</v>
      </c>
      <c r="D55" s="3" t="n">
        <v>1784</v>
      </c>
      <c r="E55" s="3" t="inlineStr"/>
    </row>
    <row r="56">
      <c r="A56" s="3" t="n">
        <v>5</v>
      </c>
      <c r="B56" s="3" t="n">
        <v>15</v>
      </c>
      <c r="C56" s="3" t="n">
        <v>1999</v>
      </c>
      <c r="D56" s="3" t="n">
        <v>1781</v>
      </c>
      <c r="E56" s="3" t="inlineStr"/>
    </row>
    <row r="57">
      <c r="A57" s="3" t="n">
        <v>5</v>
      </c>
      <c r="B57" s="3" t="n">
        <v>16</v>
      </c>
      <c r="C57" s="3" t="n">
        <v>1990</v>
      </c>
      <c r="D57" s="3" t="n">
        <v>1780</v>
      </c>
      <c r="E57" s="3" t="inlineStr"/>
    </row>
    <row r="58">
      <c r="A58" s="3" t="n">
        <v>5</v>
      </c>
      <c r="B58" s="3" t="n">
        <v>17</v>
      </c>
      <c r="C58" s="3" t="n">
        <v>1988</v>
      </c>
      <c r="D58" s="3" t="n">
        <v>1784</v>
      </c>
      <c r="E58" s="3" t="inlineStr"/>
    </row>
    <row r="59">
      <c r="A59" s="3" t="n">
        <v>5</v>
      </c>
      <c r="B59" s="3" t="n">
        <v>18</v>
      </c>
      <c r="C59" s="3" t="n">
        <v>1985</v>
      </c>
      <c r="D59" s="3" t="n">
        <v>1783</v>
      </c>
      <c r="E59" s="3" t="inlineStr"/>
    </row>
    <row r="60">
      <c r="A60" s="3" t="n">
        <v>5</v>
      </c>
      <c r="B60" s="3" t="n">
        <v>19</v>
      </c>
      <c r="C60" s="3" t="n">
        <v>1986</v>
      </c>
      <c r="D60" s="3" t="n">
        <v>1779</v>
      </c>
      <c r="E60" s="3" t="inlineStr"/>
    </row>
    <row r="61">
      <c r="A61" s="3" t="n">
        <v>5</v>
      </c>
      <c r="B61" s="3" t="n">
        <v>20</v>
      </c>
      <c r="C61" s="3" t="n">
        <v>1994</v>
      </c>
      <c r="D61" s="3" t="n">
        <v>1779</v>
      </c>
      <c r="E61" s="3" t="inlineStr"/>
    </row>
    <row r="62">
      <c r="A62" s="3" t="n">
        <v>8</v>
      </c>
      <c r="B62" s="3" t="n">
        <v>1</v>
      </c>
      <c r="C62" s="3" t="n">
        <v>2021</v>
      </c>
      <c r="D62" s="3" t="n">
        <v>1808</v>
      </c>
      <c r="E62" s="3" t="inlineStr"/>
    </row>
    <row r="63">
      <c r="A63" s="3" t="n">
        <v>8</v>
      </c>
      <c r="B63" s="3" t="n">
        <v>2</v>
      </c>
      <c r="C63" s="3" t="n">
        <v>2012</v>
      </c>
      <c r="D63" s="3" t="n">
        <v>1805</v>
      </c>
      <c r="E63" s="3" t="inlineStr"/>
    </row>
    <row r="64">
      <c r="A64" s="3" t="n">
        <v>8</v>
      </c>
      <c r="B64" s="3" t="n">
        <v>3</v>
      </c>
      <c r="C64" s="3" t="n">
        <v>2016</v>
      </c>
      <c r="D64" s="3" t="n">
        <v>1808</v>
      </c>
      <c r="E64" s="3" t="inlineStr"/>
    </row>
    <row r="65">
      <c r="A65" s="3" t="n">
        <v>8</v>
      </c>
      <c r="B65" s="3" t="n">
        <v>4</v>
      </c>
      <c r="C65" s="3" t="n">
        <v>2005</v>
      </c>
      <c r="D65" s="3" t="n">
        <v>1807</v>
      </c>
      <c r="E65" s="3" t="inlineStr"/>
    </row>
    <row r="66">
      <c r="A66" s="3" t="n">
        <v>8</v>
      </c>
      <c r="B66" s="3" t="n">
        <v>5</v>
      </c>
      <c r="C66" s="3" t="n">
        <v>2011</v>
      </c>
      <c r="D66" s="3" t="n">
        <v>1808</v>
      </c>
      <c r="E66" s="3" t="inlineStr"/>
    </row>
    <row r="67">
      <c r="A67" s="3" t="n">
        <v>8</v>
      </c>
      <c r="B67" s="3" t="n">
        <v>6</v>
      </c>
      <c r="C67" s="3" t="n">
        <v>2013</v>
      </c>
      <c r="D67" s="3" t="n">
        <v>1807</v>
      </c>
      <c r="E67" s="3" t="inlineStr"/>
    </row>
    <row r="68">
      <c r="A68" s="3" t="n">
        <v>8</v>
      </c>
      <c r="B68" s="3" t="n">
        <v>7</v>
      </c>
      <c r="C68" s="3" t="n">
        <v>2014</v>
      </c>
      <c r="D68" s="3" t="n">
        <v>1803</v>
      </c>
      <c r="E68" s="3" t="inlineStr"/>
    </row>
    <row r="69">
      <c r="A69" s="3" t="n">
        <v>8</v>
      </c>
      <c r="B69" s="3" t="n">
        <v>8</v>
      </c>
      <c r="C69" s="3" t="n">
        <v>2013</v>
      </c>
      <c r="D69" s="3" t="n">
        <v>1800</v>
      </c>
      <c r="E69" s="3" t="inlineStr"/>
    </row>
    <row r="70">
      <c r="A70" s="3" t="n">
        <v>8</v>
      </c>
      <c r="B70" s="3" t="n">
        <v>9</v>
      </c>
      <c r="C70" s="3" t="n">
        <v>2016</v>
      </c>
      <c r="D70" s="3" t="n">
        <v>1803</v>
      </c>
      <c r="E70" s="3" t="inlineStr"/>
    </row>
    <row r="71">
      <c r="A71" s="3" t="n">
        <v>8</v>
      </c>
      <c r="B71" s="3" t="n">
        <v>10</v>
      </c>
      <c r="C71" s="3" t="n">
        <v>2011</v>
      </c>
      <c r="D71" s="3" t="n">
        <v>1797</v>
      </c>
      <c r="E71" s="3" t="inlineStr"/>
    </row>
    <row r="72">
      <c r="A72" s="3" t="n">
        <v>8</v>
      </c>
      <c r="B72" s="3" t="n">
        <v>11</v>
      </c>
      <c r="C72" s="3" t="n">
        <v>2007</v>
      </c>
      <c r="D72" s="3" t="n">
        <v>1805</v>
      </c>
      <c r="E72" s="3" t="inlineStr"/>
    </row>
    <row r="73">
      <c r="A73" s="3" t="n">
        <v>8</v>
      </c>
      <c r="B73" s="3" t="n">
        <v>12</v>
      </c>
      <c r="C73" s="3" t="n">
        <v>2009</v>
      </c>
      <c r="D73" s="3" t="n">
        <v>1803</v>
      </c>
      <c r="E73" s="3" t="inlineStr"/>
    </row>
    <row r="74">
      <c r="A74" s="3" t="n">
        <v>8</v>
      </c>
      <c r="B74" s="3" t="n">
        <v>13</v>
      </c>
      <c r="C74" s="3" t="n">
        <v>2021</v>
      </c>
      <c r="D74" s="3" t="n">
        <v>1806</v>
      </c>
      <c r="E74" s="3" t="inlineStr"/>
    </row>
    <row r="75">
      <c r="A75" s="3" t="n">
        <v>8</v>
      </c>
      <c r="B75" s="3" t="n">
        <v>14</v>
      </c>
      <c r="C75" s="3" t="n">
        <v>2011</v>
      </c>
      <c r="D75" s="3" t="n">
        <v>1803</v>
      </c>
      <c r="E75" s="3" t="inlineStr"/>
    </row>
    <row r="76">
      <c r="A76" s="3" t="n">
        <v>8</v>
      </c>
      <c r="B76" s="3" t="n">
        <v>15</v>
      </c>
      <c r="C76" s="3" t="n">
        <v>2012</v>
      </c>
      <c r="D76" s="3" t="n">
        <v>1808</v>
      </c>
      <c r="E76" s="3" t="inlineStr"/>
    </row>
    <row r="77">
      <c r="A77" s="3" t="n">
        <v>8</v>
      </c>
      <c r="B77" s="3" t="n">
        <v>16</v>
      </c>
      <c r="C77" s="3" t="n">
        <v>2014</v>
      </c>
      <c r="D77" s="3" t="n">
        <v>1799</v>
      </c>
      <c r="E77" s="3" t="inlineStr"/>
    </row>
    <row r="78">
      <c r="A78" s="3" t="n">
        <v>8</v>
      </c>
      <c r="B78" s="3" t="n">
        <v>17</v>
      </c>
      <c r="C78" s="3" t="n">
        <v>2011</v>
      </c>
      <c r="D78" s="3" t="n">
        <v>1797</v>
      </c>
      <c r="E78" s="3" t="inlineStr"/>
    </row>
    <row r="79">
      <c r="A79" s="3" t="n">
        <v>8</v>
      </c>
      <c r="B79" s="3" t="n">
        <v>18</v>
      </c>
      <c r="C79" s="3" t="n">
        <v>2009</v>
      </c>
      <c r="D79" s="3" t="n">
        <v>1800</v>
      </c>
      <c r="E79" s="3" t="inlineStr"/>
    </row>
    <row r="80">
      <c r="A80" s="3" t="n">
        <v>8</v>
      </c>
      <c r="B80" s="3" t="n">
        <v>19</v>
      </c>
      <c r="C80" s="3" t="n">
        <v>2010</v>
      </c>
      <c r="D80" s="3" t="n">
        <v>1798</v>
      </c>
      <c r="E80" s="3" t="inlineStr"/>
    </row>
    <row r="81">
      <c r="A81" s="3" t="n">
        <v>8</v>
      </c>
      <c r="B81" s="3" t="n">
        <v>20</v>
      </c>
      <c r="C81" s="3" t="n">
        <v>2001</v>
      </c>
      <c r="D81" s="3" t="n">
        <v>1800</v>
      </c>
      <c r="E81" s="3" t="inlineStr"/>
    </row>
    <row r="82">
      <c r="A82" s="3" t="n">
        <v>10</v>
      </c>
      <c r="B82" s="3" t="n">
        <v>1</v>
      </c>
      <c r="C82" s="3" t="n">
        <v>1865</v>
      </c>
      <c r="D82" s="3" t="n">
        <v>1675</v>
      </c>
      <c r="E82" s="3" t="inlineStr"/>
    </row>
    <row r="83">
      <c r="A83" s="3" t="n">
        <v>10</v>
      </c>
      <c r="B83" s="3" t="n">
        <v>2</v>
      </c>
      <c r="C83" s="3" t="n">
        <v>1872</v>
      </c>
      <c r="D83" s="3" t="n">
        <v>1687</v>
      </c>
      <c r="E83" s="3" t="inlineStr"/>
    </row>
    <row r="84">
      <c r="A84" s="3" t="n">
        <v>10</v>
      </c>
      <c r="B84" s="3" t="n">
        <v>3</v>
      </c>
      <c r="C84" s="3" t="n">
        <v>1872</v>
      </c>
      <c r="D84" s="3" t="n">
        <v>1675</v>
      </c>
      <c r="E84" s="3" t="inlineStr"/>
    </row>
    <row r="85">
      <c r="A85" s="3" t="n">
        <v>10</v>
      </c>
      <c r="B85" s="3" t="n">
        <v>4</v>
      </c>
      <c r="C85" s="3" t="n">
        <v>1858</v>
      </c>
      <c r="D85" s="3" t="n">
        <v>1681</v>
      </c>
      <c r="E85" s="3" t="inlineStr"/>
    </row>
    <row r="86">
      <c r="A86" s="3" t="n">
        <v>10</v>
      </c>
      <c r="B86" s="3" t="n">
        <v>5</v>
      </c>
      <c r="C86" s="3" t="n">
        <v>1867</v>
      </c>
      <c r="D86" s="3" t="n">
        <v>1675</v>
      </c>
      <c r="E86" s="3" t="inlineStr"/>
    </row>
    <row r="87">
      <c r="A87" s="3" t="n">
        <v>10</v>
      </c>
      <c r="B87" s="3" t="n">
        <v>6</v>
      </c>
      <c r="C87" s="3" t="n">
        <v>1872</v>
      </c>
      <c r="D87" s="3" t="n">
        <v>1687</v>
      </c>
      <c r="E87" s="3" t="inlineStr"/>
    </row>
    <row r="88">
      <c r="A88" s="3" t="n">
        <v>10</v>
      </c>
      <c r="B88" s="3" t="n">
        <v>7</v>
      </c>
      <c r="C88" s="3" t="n">
        <v>1857</v>
      </c>
      <c r="D88" s="3" t="n">
        <v>1681</v>
      </c>
      <c r="E88" s="3" t="inlineStr"/>
    </row>
    <row r="89">
      <c r="A89" s="3" t="n">
        <v>10</v>
      </c>
      <c r="B89" s="3" t="n">
        <v>8</v>
      </c>
      <c r="C89" s="3" t="n">
        <v>1865</v>
      </c>
      <c r="D89" s="3" t="n">
        <v>1681</v>
      </c>
      <c r="E89" s="3" t="inlineStr"/>
    </row>
    <row r="90">
      <c r="A90" s="3" t="n">
        <v>10</v>
      </c>
      <c r="B90" s="3" t="n">
        <v>9</v>
      </c>
      <c r="C90" s="3" t="n">
        <v>1857</v>
      </c>
      <c r="D90" s="3" t="n">
        <v>1684</v>
      </c>
      <c r="E90" s="3" t="inlineStr"/>
    </row>
    <row r="91">
      <c r="A91" s="3" t="n">
        <v>10</v>
      </c>
      <c r="B91" s="3" t="n">
        <v>10</v>
      </c>
      <c r="C91" s="3" t="n">
        <v>1861</v>
      </c>
      <c r="D91" s="3" t="n">
        <v>1675</v>
      </c>
      <c r="E91" s="3" t="inlineStr"/>
    </row>
    <row r="92">
      <c r="A92" s="3" t="n">
        <v>10</v>
      </c>
      <c r="B92" s="3" t="n">
        <v>11</v>
      </c>
      <c r="C92" s="3" t="n">
        <v>1855</v>
      </c>
      <c r="D92" s="3" t="n">
        <v>1670</v>
      </c>
      <c r="E92" s="3" t="inlineStr"/>
    </row>
    <row r="93">
      <c r="A93" s="3" t="n">
        <v>10</v>
      </c>
      <c r="B93" s="3" t="n">
        <v>12</v>
      </c>
      <c r="C93" s="3" t="n">
        <v>1866</v>
      </c>
      <c r="D93" s="3" t="n">
        <v>1688</v>
      </c>
      <c r="E93" s="3" t="inlineStr"/>
    </row>
    <row r="94">
      <c r="A94" s="3" t="n">
        <v>10</v>
      </c>
      <c r="B94" s="3" t="n">
        <v>13</v>
      </c>
      <c r="C94" s="3" t="n">
        <v>1853</v>
      </c>
      <c r="D94" s="3" t="n">
        <v>1680</v>
      </c>
      <c r="E94" s="3" t="inlineStr"/>
    </row>
    <row r="95">
      <c r="A95" s="3" t="n">
        <v>10</v>
      </c>
      <c r="B95" s="3" t="n">
        <v>14</v>
      </c>
      <c r="C95" s="3" t="n">
        <v>1856</v>
      </c>
      <c r="D95" s="3" t="n">
        <v>1679</v>
      </c>
      <c r="E95" s="3" t="inlineStr"/>
    </row>
    <row r="96">
      <c r="A96" s="3" t="n">
        <v>10</v>
      </c>
      <c r="B96" s="3" t="n">
        <v>15</v>
      </c>
      <c r="C96" s="3" t="n">
        <v>1857</v>
      </c>
      <c r="D96" s="3" t="n">
        <v>1679</v>
      </c>
      <c r="E96" s="3" t="inlineStr"/>
    </row>
    <row r="97">
      <c r="A97" s="3" t="n">
        <v>10</v>
      </c>
      <c r="B97" s="3" t="n">
        <v>16</v>
      </c>
      <c r="C97" s="3" t="n">
        <v>1862</v>
      </c>
      <c r="D97" s="3" t="n">
        <v>1674</v>
      </c>
      <c r="E97" s="3" t="inlineStr"/>
    </row>
    <row r="98">
      <c r="A98" s="3" t="n">
        <v>10</v>
      </c>
      <c r="B98" s="3" t="n">
        <v>17</v>
      </c>
      <c r="C98" s="3" t="n">
        <v>1872</v>
      </c>
      <c r="D98" s="3" t="n">
        <v>1683</v>
      </c>
      <c r="E98" s="3" t="inlineStr"/>
    </row>
    <row r="99">
      <c r="A99" s="4" t="n">
        <v>10</v>
      </c>
      <c r="B99" s="4" t="n">
        <v>18</v>
      </c>
      <c r="C99" s="4" t="n">
        <v>2124</v>
      </c>
      <c r="D99" s="4" t="n">
        <v>1884</v>
      </c>
      <c r="E99" s="4" t="inlineStr">
        <is>
          <t>Water level was not constant during this final measurement; retained in original data.</t>
        </is>
      </c>
    </row>
    <row r="100">
      <c r="A100" s="4" t="n">
        <v>10</v>
      </c>
      <c r="B100" s="4" t="n">
        <v>19</v>
      </c>
      <c r="C100" s="4" t="n">
        <v>2137</v>
      </c>
      <c r="D100" s="4" t="n">
        <v>1910</v>
      </c>
      <c r="E100" s="4" t="inlineStr">
        <is>
          <t>Water level was not constant during this final measurement; retained in original data.</t>
        </is>
      </c>
    </row>
    <row r="101">
      <c r="A101" s="4" t="n">
        <v>10</v>
      </c>
      <c r="B101" s="4" t="n">
        <v>20</v>
      </c>
      <c r="C101" s="4" t="n">
        <v>2128</v>
      </c>
      <c r="D101" s="4" t="n">
        <v>1901</v>
      </c>
      <c r="E101" s="4" t="inlineStr">
        <is>
          <t>Water level was not constant during this final measurement; retained in original data.</t>
        </is>
      </c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8" customWidth="1" min="5" max="5"/>
    <col width="12" customWidth="1" min="6" max="6"/>
    <col width="12" customWidth="1" min="7" max="7"/>
    <col width="75" customWidth="1" min="8" max="8"/>
  </cols>
  <sheetData>
    <row r="1">
      <c r="A1" s="2" t="inlineStr">
        <is>
          <t>Level_cm</t>
        </is>
      </c>
      <c r="B1" s="2" t="inlineStr">
        <is>
          <t>N</t>
        </is>
      </c>
      <c r="C1" s="2" t="inlineStr">
        <is>
          <t>Mean_ADC</t>
        </is>
      </c>
      <c r="D1" s="2" t="inlineStr">
        <is>
          <t>Sample_SD_ADC</t>
        </is>
      </c>
      <c r="E1" s="2" t="inlineStr">
        <is>
          <t>Mean_reported_mV</t>
        </is>
      </c>
      <c r="F1" s="2" t="inlineStr">
        <is>
          <t>Min_ADC</t>
        </is>
      </c>
      <c r="G1" s="2" t="inlineStr">
        <is>
          <t>Max_ADC</t>
        </is>
      </c>
      <c r="H1" s="2" t="inlineStr">
        <is>
          <t>Notes</t>
        </is>
      </c>
    </row>
    <row r="2">
      <c r="A2" s="3" t="n">
        <v>0</v>
      </c>
      <c r="B2" s="3" t="n">
        <v>20</v>
      </c>
      <c r="C2" s="3" t="n">
        <v>22.8</v>
      </c>
      <c r="D2" s="3" t="n">
        <v>8.262789130222695</v>
      </c>
      <c r="E2" s="3" t="n">
        <v>159.95</v>
      </c>
      <c r="F2" s="3" t="n">
        <v>8</v>
      </c>
      <c r="G2" s="3" t="n">
        <v>38</v>
      </c>
      <c r="H2" s="3" t="inlineStr"/>
    </row>
    <row r="3">
      <c r="A3" s="3" t="n">
        <v>2</v>
      </c>
      <c r="B3" s="3" t="n">
        <v>20</v>
      </c>
      <c r="C3" s="3" t="n">
        <v>1893.35</v>
      </c>
      <c r="D3" s="3" t="n">
        <v>7.38615347511103</v>
      </c>
      <c r="E3" s="3" t="n">
        <v>1703.5</v>
      </c>
      <c r="F3" s="3" t="n">
        <v>1876</v>
      </c>
      <c r="G3" s="3" t="n">
        <v>1911</v>
      </c>
      <c r="H3" s="3" t="inlineStr"/>
    </row>
    <row r="4">
      <c r="A4" s="3" t="n">
        <v>5</v>
      </c>
      <c r="B4" s="3" t="n">
        <v>20</v>
      </c>
      <c r="C4" s="3" t="n">
        <v>1991.35</v>
      </c>
      <c r="D4" s="3" t="n">
        <v>5.29423718475297</v>
      </c>
      <c r="E4" s="3" t="n">
        <v>1787.3</v>
      </c>
      <c r="F4" s="3" t="n">
        <v>1985</v>
      </c>
      <c r="G4" s="3" t="n">
        <v>2001</v>
      </c>
      <c r="H4" s="3" t="inlineStr"/>
    </row>
    <row r="5">
      <c r="A5" s="3" t="n">
        <v>8</v>
      </c>
      <c r="B5" s="3" t="n">
        <v>20</v>
      </c>
      <c r="C5" s="3" t="n">
        <v>2011.85</v>
      </c>
      <c r="D5" s="3" t="n">
        <v>4.727021984516813</v>
      </c>
      <c r="E5" s="3" t="n">
        <v>1803.25</v>
      </c>
      <c r="F5" s="3" t="n">
        <v>2001</v>
      </c>
      <c r="G5" s="3" t="n">
        <v>2021</v>
      </c>
      <c r="H5" s="3" t="inlineStr"/>
    </row>
    <row r="6">
      <c r="A6" s="3" t="n">
        <v>10</v>
      </c>
      <c r="B6" s="3" t="n">
        <v>20</v>
      </c>
      <c r="C6" s="3" t="n">
        <v>1902.8</v>
      </c>
      <c r="D6" s="3" t="n">
        <v>97.9928031729076</v>
      </c>
      <c r="E6" s="3" t="n">
        <v>1712.45</v>
      </c>
      <c r="F6" s="3" t="n">
        <v>1853</v>
      </c>
      <c r="G6" s="3" t="n">
        <v>2137</v>
      </c>
      <c r="H6" s="3" t="inlineStr">
        <is>
          <t>Samples 18–20 (2124, 2137, 2128 ADC) were recorded while water level was unstable; retained in all-data statistics.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90" customWidth="1" min="3" max="3"/>
  </cols>
  <sheetData>
    <row r="1">
      <c r="A1" s="2" t="inlineStr">
        <is>
          <t>Metric</t>
        </is>
      </c>
      <c r="B1" s="2" t="inlineStr">
        <is>
          <t>Excel formula examples</t>
        </is>
      </c>
      <c r="C1" s="2" t="inlineStr">
        <is>
          <t>Note</t>
        </is>
      </c>
    </row>
    <row r="2">
      <c r="A2" s="3" t="inlineStr">
        <is>
          <t>Mean ADC</t>
        </is>
      </c>
      <c r="B2" s="3">
        <f>AVERAGEIF(Raw_Data!$A$2:$A$101,A2,Raw_Data!$C$2:$C$101)</f>
        <v/>
      </c>
      <c r="C2" s="3" t="inlineStr">
        <is>
          <t>Use Summary!A2 as level criterion, then fill down.</t>
        </is>
      </c>
    </row>
    <row r="3">
      <c r="A3" s="3" t="inlineStr">
        <is>
          <t>Sample standard deviation ADC</t>
        </is>
      </c>
      <c r="B3" s="3">
        <f>STDEV.S(FILTER(Raw_Data!$C$2:$C$101,Raw_Data!$A$2:$A$101=A2))</f>
        <v/>
      </c>
      <c r="C3" s="3" t="inlineStr">
        <is>
          <t>Excel 365 supports FILTER; otherwise calculate SD from each level's 20 ADC values.</t>
        </is>
      </c>
    </row>
    <row r="4">
      <c r="A4" s="3" t="inlineStr">
        <is>
          <t>Mean reported voltage (mV)</t>
        </is>
      </c>
      <c r="B4" s="3">
        <f>AVERAGEIF(Raw_Data!$A$2:$A$101,A2,Raw_Data!$D$2:$D$101)</f>
        <v/>
      </c>
      <c r="C4" s="3" t="inlineStr">
        <is>
          <t>Reported voltage is ADC-derived, not independently verified with a multimeter.</t>
        </is>
      </c>
    </row>
    <row r="5">
      <c r="A5" s="3" t="inlineStr">
        <is>
          <t>10 cm observation</t>
        </is>
      </c>
      <c r="B5" s="3" t="inlineStr">
        <is>
          <t>Samples 18–20: ADC 2124, 2137, 2128</t>
        </is>
      </c>
      <c r="C5" s="3" t="inlineStr">
        <is>
          <t>User observed water level was not constant during these final three measurements. Values retained in raw data and summary; later repeat runs must be stored separately.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2026-10-18T11:13:29Z</dcterms:created>
  <dcterms:modified xmlns:dcterms="http://purl.org/dc/terms/" xmlns:xsi="http://www.w3.org/2001/XMLSchema-instance" xsi:type="dcterms:W3CDTF">2026-10-18T11:35:22Z</dcterms:modified>
</cp:coreProperties>
</file>